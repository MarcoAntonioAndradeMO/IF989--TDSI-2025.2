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RSL" sheetId="1" r:id="rId4"/>
    <sheet state="hidden" name="Página28" sheetId="2" r:id="rId5"/>
  </sheets>
  <definedNames/>
  <calcPr/>
</workbook>
</file>

<file path=xl/sharedStrings.xml><?xml version="1.0" encoding="utf-8"?>
<sst xmlns="http://schemas.openxmlformats.org/spreadsheetml/2006/main" count="32" uniqueCount="31">
  <si>
    <t>TENDÊNCIAS E DESAFIOS EM SI - ESTRUTURAÇÃO DA INVESTIGAÇÃO SISTEMÁTICA</t>
  </si>
  <si>
    <t>//</t>
  </si>
  <si>
    <t>Parte 2: Protocolo de Pesquisa</t>
  </si>
  <si>
    <t>Palavras-chave:</t>
  </si>
  <si>
    <t>Robô Polifuncional, Interação Humano-Robô, Logística, Saúde, Serviços de Campo.</t>
  </si>
  <si>
    <t>Sinônimos por palavras-chave:</t>
  </si>
  <si>
    <r>
      <rPr>
        <rFont val="Arial"/>
        <b/>
        <color theme="1"/>
      </rPr>
      <t>Robô Polifuncional:</t>
    </r>
    <r>
      <rPr>
        <rFont val="Arial"/>
        <color theme="1"/>
      </rPr>
      <t xml:space="preserve"> "robot" OR "cobot" OR "multipurpose robot"
</t>
    </r>
    <r>
      <rPr>
        <rFont val="Arial"/>
        <b/>
        <color theme="1"/>
      </rPr>
      <t>Logística:</t>
    </r>
    <r>
      <rPr>
        <rFont val="Arial"/>
        <color theme="1"/>
      </rPr>
      <t xml:space="preserve"> "logistics" OR "warehouse" OR "supply chain" OR "fulfillment center" 
</t>
    </r>
    <r>
      <rPr>
        <rFont val="Arial"/>
        <b/>
        <color theme="1"/>
      </rPr>
      <t>Saúde:</t>
    </r>
    <r>
      <rPr>
        <rFont val="Arial"/>
        <color theme="1"/>
      </rPr>
      <t xml:space="preserve"> "healthcare" OR "hospital" OR "medical" OR "assistive" 
</t>
    </r>
    <r>
      <rPr>
        <rFont val="Arial"/>
        <b/>
        <color theme="1"/>
      </rPr>
      <t>Serviços de Campo:</t>
    </r>
    <r>
      <rPr>
        <rFont val="Arial"/>
        <color theme="1"/>
      </rPr>
      <t xml:space="preserve"> "field service" OR "field robotics" OR "inspection robot" OR "maintenance robot"</t>
    </r>
  </si>
  <si>
    <t>String de busca:</t>
  </si>
  <si>
    <t>("polyfunctional robot" OR "multipurpose robot" OR "multi-task robot" OR "versatile robot" OR "collaborative robot" OR "cobot")
AND
("human-robot collaboration" OR "human-robot interaction" OR "human-robot synergy")
AND
("logistics" OR "warehouse" OR "supply chain" OR "fulfillment center" OR "healthcare" OR "hospital" OR "medical robot" OR "assistive robotics" OR "field service" OR "field robotics" OR "inspection robot" OR "maintenance robot")</t>
  </si>
  <si>
    <t>Fontes de pesquisa usadas:</t>
  </si>
  <si>
    <t>ACM, IEE, Scopus, Web of Science</t>
  </si>
  <si>
    <t>Executar a string de busca nas bases:</t>
  </si>
  <si>
    <t>Primeiros números por fonte de pesquisa:</t>
  </si>
  <si>
    <r>
      <rPr>
        <rFont val="Arial"/>
        <i/>
        <color rgb="FF000000"/>
      </rPr>
      <t>Para cada base (ou conferência), listar o número de artigos encontrados.</t>
    </r>
    <r>
      <rPr>
        <rFont val="Arial"/>
        <i/>
        <color rgb="FF0000FF"/>
      </rPr>
      <t xml:space="preserve">
</t>
    </r>
  </si>
  <si>
    <t>ACM</t>
  </si>
  <si>
    <t>Pesquisa</t>
  </si>
  <si>
    <t>IEEE</t>
  </si>
  <si>
    <t>https://ieeexplore.ieee.org/search/searchresult.jsp?action=search&amp;matchBoolean=true&amp;newsearch=true&amp;queryText=(((%22Abstract%22:%22polyfunctional%20robot%22%20OR%20%22Abstract%22:%22multipurpose%20robot%22%20OR%20%22Abstract%22:%22multi-task%20robot%22%20OR%20%22Abstract%22:%22versatile%20robot%22%20OR%20%22Abstract%22:%22collaborative%20robot%22%20OR%20%22Abstract%22:%22cobot%22)%20AND%20(%22Abstract%22:%22human-robot%20collaboration%22%20OR%20%22Abstract%22:%22human-robot%20interaction%22%20OR%20%22Abstract%22:%22human-robot%20synergy%22)%20AND%20(%22Abstract%22:%22logistics%22%20OR%20%22Abstract%22:%22warehouse%22%20OR%20%22Abstract%22:%22supply%20chain%22%20OR%20%22Abstract%22:%22fulfillment%20center%22%20OR%20%22Abstract%22:%22healthcare%22%20OR%20%22Abstract%22:%22hospital%22%20OR%20%22Abstract%22:%22medical%20robot%22%20OR%20%22Abstract%22:%22assistive%20robotics%22%20OR%20%22Abstract%22:%22field%20service%22%20OR%20%22Abstract%22:%22field%20robotics%22%20OR%20%22Abstract%22:%22inspection%20robot%22%20OR%20%22Abstract%22:%22maintenance%20robot%22))%0A)</t>
  </si>
  <si>
    <t>Scopus</t>
  </si>
  <si>
    <t>https://www.scopus.com/results/results.uri?st1=%28%22collaborative%22+OR+%22human%22+OR+%22interaction%22+OR+%22HRI%22+OR+%22collaboration%22+OR+%22HRC%22+OR+%22human+factors%22%29+AND+%28%22robot%22+OR+%22cobot%22+OR+%22multipurpose+robot%22%29+AND+%28%22ergonomics%22+OR+%22logistic%22+OR+%22logistics%22+OR+%22inspection%22+OR+%22assistive%22+OR+%22field+service%22+OR+%22field+robotics%22+OR+%22healthcare%22+OR+%22medical%22+OR+%22maintenance%22+OR+%22supply+chain%22+OR+%22fulfillment+center%22%29&amp;st2=&amp;s=ABS%28%28%22polyfunctional+robot%22+OR+%22multipurpose+robot%22+OR+%22multi-task+robot%22+OR+%22versatile+robot%22+OR+%22collaborative+robot%22+OR+%22cobot%22%29++And++%28+%22human-robot+collaboration%22+OR+%22human-robot+interaction%22+OR+%22human-robot+synergy%22%29+++And+++%28%22logistics%22+OR+%22warehouse%22+OR+%22supply+chain%22+OR+%22fulfillment+center%22+OR+%22healthcare%22+OR+%22hospital%22+OR+%22medical+robot%22+OR+%22assistive+robotics%22+OR+%22field+service%22+OR+%22field+robotics%22+OR+%22inspection+robot%22+OR+%22maintenance+robot%22%29%29&amp;limit=10&amp;origin=searchbasic&amp;sort=plf-f&amp;src=s&amp;sot=b&amp;sdt=b&amp;sessionSearchId=b43774398591bf84112cb83a05a36814</t>
  </si>
  <si>
    <t>Science Direct</t>
  </si>
  <si>
    <t>Web of Science</t>
  </si>
  <si>
    <t>link</t>
  </si>
  <si>
    <t>Total de Artigos</t>
  </si>
  <si>
    <t>Critérios de inclusão:</t>
  </si>
  <si>
    <t xml:space="preserve">(CI1) Foco no Tema: O artigo deve discutir a aplicação, implementação, design ou avaliação de robôs em ambientes de trabalho.Foco em robôs polifuncionais (multi-tarefa) OU robôs colaborativos (cobots) que interagem com humanos. O contexto deve ser logística (armazéns, etc.), saúde (hospitais, assistência) ou serviços de campo (manutenção, inspeção).
(CI2) Foco nas RQs: Deve fornecer dados sobre aplicações práticas, impactos mensurados (ROI, eficiência), análise de HRI, tecnologias habilitadoras ou desafios de implementação.
(CI3) Tipo de Publicação: Artigos de conferência (proceedings) e artigos de periódico (journals) revisados por pares.
(CI4) Idioma: Artigos em inglês.
(CI5) Período: Publicados entre 2020-2025.        </t>
  </si>
  <si>
    <t>Critérios de exclusão:</t>
  </si>
  <si>
    <t xml:space="preserve">
(CE1) Robôs de Tarefa Única: Estudos focados em robôs industriais tradicionais, fixos e de tarefa única sem interação humana.
(CE2) Setores Excluídos: Foco exclusivo em robótica militar, espacial, doméstica ou entretenimento (a menos que a tecnologia seja aplicável aos setores-alvo).
(CE3) Foco Teórico/Abstrato: Artigos puramente teóricos ou de simulação sem aplicação, estudo de caso ou protótipo validado nos setores-alvo.
(CE4) Tipo de Publicação: Artigos de revisão (surveys, meta-análises), livros, capítulos, teses, dissertações, editoriais, notas curtas ou apenas resumos.
(CE5) Acesso: Artigos cujo texto completo não puder ser obtido.
</t>
  </si>
  <si>
    <t>RESULTADO ESPERADO PARTE 2:</t>
  </si>
  <si>
    <t xml:space="preserve">String de busca definida e aplicada nas bases de pesquisa. Se os resultados encontrados estão relacionados com o tema, exportar os resultados para uma planilha para que os filtros da Parte 3 possam ser aplicados. </t>
  </si>
  <si>
    <t>/</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</si>
</sst>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font>
    <font>
      <color theme="1"/>
      <name val="Arial"/>
    </font>
    <font>
      <b/>
      <sz val="12.0"/>
      <color theme="1"/>
      <name val="Arial"/>
    </font>
    <font>
      <color rgb="FF000000"/>
      <name val="Arial"/>
    </font>
    <font>
      <b/>
      <color rgb="FF000000"/>
      <name val="Arial"/>
    </font>
    <font>
      <i/>
      <color rgb="FF0000FF"/>
      <name val="Arial"/>
    </font>
    <font>
      <b/>
      <color rgb="FF0000FF"/>
      <name val="Arial"/>
    </font>
    <font>
      <i/>
      <u/>
      <color rgb="FF000000"/>
      <name val="Arial"/>
    </font>
    <font>
      <i/>
      <color rgb="FF000000"/>
      <name val="Arial"/>
    </font>
    <font>
      <i/>
      <sz val="10.0"/>
      <color rgb="FF000000"/>
      <name val="Arial"/>
    </font>
    <font>
      <i/>
      <color theme="1"/>
      <name val="Arial"/>
    </font>
  </fonts>
  <fills count="6">
    <fill>
      <patternFill patternType="none"/>
    </fill>
    <fill>
      <patternFill patternType="lightGray"/>
    </fill>
    <fill>
      <patternFill patternType="solid">
        <fgColor rgb="FFFFD966"/>
        <bgColor rgb="FFFFD966"/>
      </patternFill>
    </fill>
    <fill>
      <patternFill patternType="solid">
        <fgColor rgb="FFFFFFFF"/>
        <bgColor rgb="FFFFFFFF"/>
      </patternFill>
    </fill>
    <fill>
      <patternFill patternType="solid">
        <fgColor rgb="FFFFF2CC"/>
        <bgColor rgb="FFFFF2CC"/>
      </patternFill>
    </fill>
    <fill>
      <patternFill patternType="solid">
        <fgColor rgb="FFCFE2F3"/>
        <bgColor rgb="FFCFE2F3"/>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horizontal="center"/>
    </xf>
    <xf borderId="0" fillId="3" fontId="1" numFmtId="0" xfId="0" applyAlignment="1" applyFill="1" applyFont="1">
      <alignment horizontal="left"/>
    </xf>
    <xf borderId="0" fillId="3" fontId="2" numFmtId="0" xfId="0" applyFont="1"/>
    <xf borderId="0" fillId="0" fontId="3" numFmtId="0" xfId="0" applyFont="1"/>
    <xf borderId="0" fillId="0" fontId="2" numFmtId="0" xfId="0" applyAlignment="1" applyFont="1">
      <alignment shrinkToFit="0" wrapText="1"/>
    </xf>
    <xf borderId="0" fillId="4" fontId="2" numFmtId="0" xfId="0" applyFill="1" applyFont="1"/>
    <xf borderId="0" fillId="0" fontId="1" numFmtId="0" xfId="0" applyFont="1"/>
    <xf borderId="0" fillId="0" fontId="2" numFmtId="0" xfId="0" applyAlignment="1" applyFont="1">
      <alignment horizontal="left" shrinkToFit="0" vertical="center" wrapText="1"/>
    </xf>
    <xf borderId="0" fillId="0" fontId="2" numFmtId="0" xfId="0" applyAlignment="1" applyFont="1">
      <alignment readingOrder="0" shrinkToFit="0" wrapText="1"/>
    </xf>
    <xf borderId="0" fillId="0" fontId="4" numFmtId="0" xfId="0" applyAlignment="1" applyFont="1">
      <alignment readingOrder="0" shrinkToFit="0" wrapText="1"/>
    </xf>
    <xf borderId="0" fillId="3" fontId="5" numFmtId="0" xfId="0" applyAlignment="1" applyFont="1">
      <alignment readingOrder="0" shrinkToFit="0" wrapText="1"/>
    </xf>
    <xf borderId="0" fillId="3" fontId="6" numFmtId="0" xfId="0" applyAlignment="1" applyFont="1">
      <alignment readingOrder="0" shrinkToFit="0" wrapText="1"/>
    </xf>
    <xf borderId="0" fillId="3" fontId="7" numFmtId="0" xfId="0" applyAlignment="1" applyFont="1">
      <alignment horizontal="right"/>
    </xf>
    <xf borderId="0" fillId="3" fontId="6" numFmtId="0" xfId="0" applyAlignment="1" applyFont="1">
      <alignment shrinkToFit="0" wrapText="1"/>
    </xf>
    <xf borderId="0" fillId="0" fontId="6" numFmtId="0" xfId="0" applyAlignment="1" applyFont="1">
      <alignment shrinkToFit="0" vertical="bottom" wrapText="1"/>
    </xf>
    <xf borderId="0" fillId="0" fontId="4" numFmtId="0" xfId="0" applyAlignment="1" applyFont="1">
      <alignment readingOrder="0" shrinkToFit="0" wrapText="1"/>
    </xf>
    <xf borderId="0" fillId="0" fontId="8" numFmtId="0" xfId="0" applyAlignment="1" applyFont="1">
      <alignment readingOrder="0" shrinkToFit="0" wrapText="1"/>
    </xf>
    <xf borderId="0" fillId="0" fontId="4" numFmtId="0" xfId="0" applyAlignment="1" applyFont="1">
      <alignment horizontal="right" readingOrder="0" shrinkToFit="0" vertical="bottom" wrapText="1"/>
    </xf>
    <xf borderId="0" fillId="0" fontId="6" numFmtId="0" xfId="0" applyAlignment="1" applyFont="1">
      <alignment readingOrder="0" shrinkToFit="0" wrapText="1"/>
    </xf>
    <xf borderId="0" fillId="0" fontId="9" numFmtId="0" xfId="0" applyAlignment="1" applyFont="1">
      <alignment readingOrder="0" shrinkToFit="0" wrapText="1"/>
    </xf>
    <xf borderId="0" fillId="0" fontId="10"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xf>
    <xf borderId="0" fillId="0" fontId="11" numFmtId="0" xfId="0" applyAlignment="1" applyFont="1">
      <alignment shrinkToFit="0" vertical="bottom" wrapText="1"/>
    </xf>
    <xf borderId="0" fillId="0" fontId="2" numFmtId="0" xfId="0" applyAlignment="1" applyFont="1">
      <alignment shrinkToFit="0" vertical="bottom" wrapText="1"/>
    </xf>
    <xf borderId="0" fillId="5" fontId="1" numFmtId="0" xfId="0" applyAlignment="1" applyFill="1" applyFont="1">
      <alignment horizontal="right" vertical="center"/>
    </xf>
    <xf borderId="0" fillId="5" fontId="1" numFmtId="0" xfId="0" applyAlignment="1" applyFont="1">
      <alignment horizontal="left" shrinkToFit="0"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l.acm.org/action/doSearch?fillQuickSearch=false&amp;target=advanced&amp;expand=dl&amp;AllField=%28%22polyfunctional+robot%22+OR+%22multipurpose+robot%22+OR+%22multi-task+robot%22+OR+%22versatile+robot%22+OR+%22collaborative+robot%22+OR+%22cobot%22%29+AND+%28%22human-robot+collaboration%22+OR+%22human-robot+interaction%22+OR+%22human-robot+synergy%22%29+AND+%28%22logistics%22+OR+%22warehouse%22+OR+%22supply+chain%22+OR+%22fulfillment+center%22+OR+%22healthcare%22+OR+%22hospital%22+OR+%22medical+robot%22+OR+%22assistive+robotics%22+OR+%22field+service%22+OR+%22field+robotics%22+OR+%22inspection+robot%22+OR+%22maintenance+robot%22%29" TargetMode="External"/><Relationship Id="rId2" Type="http://schemas.openxmlformats.org/officeDocument/2006/relationships/hyperlink" Target="https://www.sciencedirect.com/search?tak=%28%22polyfunctional+robot%22+OR+%22multipurpose+robot%22+OR+%22collaborative+robot%22+OR+%22cobot%22%29%0AAND%0A%28%22human-robot+collaboration%22+OR+%22human-robot+interaction%22%29%0AAND%0A%28%22logistics%22+OR+%22healthcare%22+OR+%22field+service%22%29"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8"/>
    <col customWidth="1" min="2" max="2" width="44.75"/>
    <col customWidth="1" min="3" max="3" width="19.0"/>
    <col customWidth="1" min="4" max="4" width="14.5"/>
    <col customWidth="1" min="5" max="5" width="28.5"/>
  </cols>
  <sheetData>
    <row r="1" ht="15.75" customHeight="1">
      <c r="A1" s="1" t="s">
        <v>0</v>
      </c>
      <c r="F1" s="2"/>
      <c r="G1" s="2"/>
      <c r="H1" s="2"/>
      <c r="I1" s="2"/>
      <c r="J1" s="2"/>
      <c r="K1" s="3"/>
      <c r="L1" s="3"/>
      <c r="M1" s="3"/>
      <c r="N1" s="3"/>
      <c r="O1" s="3"/>
      <c r="P1" s="3"/>
      <c r="Q1" s="3"/>
      <c r="R1" s="3"/>
      <c r="S1" s="3"/>
      <c r="T1" s="3"/>
      <c r="U1" s="3"/>
      <c r="V1" s="3"/>
      <c r="W1" s="3"/>
      <c r="X1" s="3"/>
      <c r="Y1" s="3"/>
      <c r="Z1" s="3"/>
      <c r="AA1" s="3" t="s">
        <v>1</v>
      </c>
    </row>
    <row r="2" ht="15.75" customHeight="1">
      <c r="A2" s="4" t="s">
        <v>2</v>
      </c>
      <c r="B2" s="5"/>
      <c r="C2" s="5"/>
      <c r="D2" s="5"/>
      <c r="E2" s="6"/>
    </row>
    <row r="3" ht="35.25" customHeight="1">
      <c r="A3" s="7" t="s">
        <v>3</v>
      </c>
      <c r="B3" s="8" t="s">
        <v>4</v>
      </c>
      <c r="E3" s="6"/>
    </row>
    <row r="4">
      <c r="A4" s="7" t="s">
        <v>5</v>
      </c>
      <c r="B4" s="9" t="s">
        <v>6</v>
      </c>
      <c r="E4" s="6"/>
    </row>
    <row r="5">
      <c r="A5" s="7" t="s">
        <v>7</v>
      </c>
      <c r="B5" s="10" t="s">
        <v>8</v>
      </c>
      <c r="E5" s="6"/>
    </row>
    <row r="6">
      <c r="A6" s="7" t="s">
        <v>9</v>
      </c>
      <c r="B6" s="11" t="s">
        <v>10</v>
      </c>
      <c r="C6" s="12"/>
      <c r="D6" s="12"/>
      <c r="E6" s="6"/>
    </row>
    <row r="7" ht="15.75" customHeight="1">
      <c r="A7" s="13"/>
      <c r="B7" s="12"/>
      <c r="C7" s="14"/>
      <c r="D7" s="14"/>
      <c r="E7" s="6"/>
    </row>
    <row r="8">
      <c r="A8" s="7" t="s">
        <v>11</v>
      </c>
      <c r="B8" s="12"/>
      <c r="C8" s="14"/>
      <c r="D8" s="14"/>
      <c r="E8" s="6"/>
    </row>
    <row r="9">
      <c r="A9" s="7" t="s">
        <v>12</v>
      </c>
      <c r="B9" s="15" t="s">
        <v>13</v>
      </c>
      <c r="E9" s="6"/>
    </row>
    <row r="10">
      <c r="A10" s="7"/>
      <c r="B10" s="16" t="s">
        <v>14</v>
      </c>
      <c r="C10" s="16">
        <v>149.0</v>
      </c>
      <c r="D10" s="17" t="s">
        <v>15</v>
      </c>
      <c r="E10" s="6"/>
    </row>
    <row r="11">
      <c r="A11" s="7"/>
      <c r="B11" s="16" t="s">
        <v>16</v>
      </c>
      <c r="C11" s="18">
        <v>2.0</v>
      </c>
      <c r="D11" s="19" t="s">
        <v>17</v>
      </c>
      <c r="E11" s="6"/>
    </row>
    <row r="12">
      <c r="A12" s="7"/>
      <c r="B12" s="16" t="s">
        <v>18</v>
      </c>
      <c r="C12" s="16">
        <v>43.0</v>
      </c>
      <c r="D12" s="19" t="s">
        <v>19</v>
      </c>
      <c r="E12" s="6"/>
    </row>
    <row r="13">
      <c r="A13" s="7"/>
      <c r="B13" s="16" t="s">
        <v>20</v>
      </c>
      <c r="C13" s="16">
        <v>8.0</v>
      </c>
      <c r="D13" s="17" t="s">
        <v>15</v>
      </c>
      <c r="E13" s="6"/>
    </row>
    <row r="14">
      <c r="A14" s="7"/>
      <c r="B14" s="20" t="s">
        <v>21</v>
      </c>
      <c r="C14" s="21">
        <v>130.0</v>
      </c>
      <c r="D14" s="19" t="s">
        <v>22</v>
      </c>
      <c r="E14" s="6"/>
    </row>
    <row r="15">
      <c r="A15" s="7"/>
      <c r="B15" s="22" t="s">
        <v>23</v>
      </c>
      <c r="C15" s="22">
        <f>SUM(C10:C13)</f>
        <v>202</v>
      </c>
      <c r="D15" s="19"/>
      <c r="E15" s="6"/>
    </row>
    <row r="16">
      <c r="A16" s="23" t="s">
        <v>24</v>
      </c>
      <c r="B16" s="24" t="s">
        <v>25</v>
      </c>
      <c r="E16" s="6"/>
    </row>
    <row r="17">
      <c r="A17" s="23" t="s">
        <v>26</v>
      </c>
      <c r="B17" s="25" t="s">
        <v>27</v>
      </c>
      <c r="E17" s="6"/>
    </row>
    <row r="18">
      <c r="A18" s="26" t="s">
        <v>28</v>
      </c>
      <c r="B18" s="27" t="s">
        <v>29</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c r="G59" s="28">
        <f>450.897777777777</f>
        <v>450.8977778</v>
      </c>
    </row>
    <row r="60" ht="15.75" customHeight="1">
      <c r="G60" s="28" t="s">
        <v>30</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sheetData>
  <mergeCells count="8">
    <mergeCell ref="A1:E1"/>
    <mergeCell ref="B3:D3"/>
    <mergeCell ref="B4:D4"/>
    <mergeCell ref="B5:D5"/>
    <mergeCell ref="B9:D9"/>
    <mergeCell ref="B16:D16"/>
    <mergeCell ref="B17:D17"/>
    <mergeCell ref="B18:E18"/>
  </mergeCells>
  <hyperlinks>
    <hyperlink r:id="rId1" ref="D10"/>
    <hyperlink r:id="rId2" ref="D13"/>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